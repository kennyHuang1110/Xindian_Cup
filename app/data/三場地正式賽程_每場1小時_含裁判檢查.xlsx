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E7A7A6-1D48-4F3E-8778-3BA23582DF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正式賽程表" sheetId="1" r:id="rId1"/>
    <sheet name="DATA" sheetId="2" state="hidden" r:id="rId2"/>
    <sheet name="隊伍填寫" sheetId="3" r:id="rId3"/>
    <sheet name="MAP" sheetId="4" state="hidden" r:id="rId4"/>
    <sheet name="裁判衝突檢查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5" l="1"/>
  <c r="D9" i="5"/>
  <c r="C9" i="5"/>
  <c r="B9" i="5"/>
  <c r="A9" i="5"/>
  <c r="D8" i="5"/>
  <c r="C8" i="5"/>
  <c r="B8" i="5"/>
  <c r="E8" i="5" s="1"/>
  <c r="A8" i="5"/>
  <c r="D7" i="5"/>
  <c r="C7" i="5"/>
  <c r="B7" i="5"/>
  <c r="E7" i="5" s="1"/>
  <c r="A7" i="5"/>
  <c r="D6" i="5"/>
  <c r="C6" i="5"/>
  <c r="B6" i="5"/>
  <c r="E6" i="5" s="1"/>
  <c r="A6" i="5"/>
  <c r="E5" i="5"/>
  <c r="D5" i="5"/>
  <c r="C5" i="5"/>
  <c r="B5" i="5"/>
  <c r="A5" i="5"/>
  <c r="D4" i="5"/>
  <c r="C4" i="5"/>
  <c r="B4" i="5"/>
  <c r="E4" i="5" s="1"/>
  <c r="A4" i="5"/>
  <c r="D3" i="5"/>
  <c r="C3" i="5"/>
  <c r="E3" i="5" s="1"/>
  <c r="B3" i="5"/>
  <c r="A3" i="5"/>
  <c r="D2" i="5"/>
  <c r="C2" i="5"/>
  <c r="B2" i="5"/>
  <c r="E2" i="5" s="1"/>
  <c r="A2" i="5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C14" i="1" s="1"/>
  <c r="B5" i="4"/>
  <c r="D10" i="1" s="1"/>
  <c r="A5" i="4"/>
  <c r="B4" i="4"/>
  <c r="B10" i="1" s="1"/>
  <c r="A4" i="4"/>
  <c r="D14" i="1" s="1"/>
  <c r="B3" i="4"/>
  <c r="A3" i="4"/>
  <c r="E13" i="1" s="1"/>
  <c r="B2" i="4"/>
  <c r="B8" i="1" s="1"/>
  <c r="A2" i="4"/>
  <c r="B1" i="4"/>
  <c r="A1" i="4"/>
  <c r="G14" i="1"/>
  <c r="F14" i="1"/>
  <c r="E14" i="1"/>
  <c r="A14" i="1"/>
  <c r="F13" i="1"/>
  <c r="A13" i="1"/>
  <c r="G12" i="1"/>
  <c r="F12" i="1"/>
  <c r="A12" i="1"/>
  <c r="C10" i="1"/>
  <c r="A10" i="1"/>
  <c r="C9" i="1"/>
  <c r="B9" i="1"/>
  <c r="A9" i="1"/>
  <c r="E8" i="1"/>
  <c r="D8" i="1"/>
  <c r="A8" i="1"/>
  <c r="E9" i="1" l="1"/>
  <c r="F8" i="1"/>
  <c r="B13" i="1"/>
  <c r="C13" i="1"/>
  <c r="G8" i="1"/>
  <c r="E10" i="1"/>
  <c r="F10" i="1"/>
  <c r="D13" i="1"/>
  <c r="G10" i="1"/>
  <c r="D9" i="1"/>
  <c r="B12" i="1"/>
  <c r="G13" i="1"/>
  <c r="C12" i="1"/>
  <c r="F9" i="1"/>
  <c r="D12" i="1"/>
  <c r="B14" i="1"/>
  <c r="G9" i="1"/>
  <c r="E12" i="1"/>
  <c r="C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新細明體"/>
            <family val="2"/>
            <scheme val="minor"/>
          </rPr>
          <t>已排成 3 場地、每場 1 小時版本，並提供裁判衝突檢查頁。</t>
        </r>
      </text>
    </comment>
  </commentList>
</comments>
</file>

<file path=xl/sharedStrings.xml><?xml version="1.0" encoding="utf-8"?>
<sst xmlns="http://schemas.openxmlformats.org/spreadsheetml/2006/main" count="157" uniqueCount="91">
  <si>
    <t>排球比賽正式賽程表（9 隊／3 場地／每場 1 小時）</t>
  </si>
  <si>
    <t>賽制：ABC／DEF／GHI 三組單循環，各組取前 2 名晉級六強。</t>
  </si>
  <si>
    <t>六強賽制：S1、S2 直接進四強；S3 vs S6、S4 vs S5，之後打四強、5/6 名、季軍、冠軍。</t>
  </si>
  <si>
    <t>裁判原則：預賽由同組未出賽隊擔任隨隊裁判；六強由各組第三名（T3A／T3B／T3C）輪值執法。</t>
  </si>
  <si>
    <t>檢查方式：如需替換裁判，請同步查看「裁判衝突檢查」分頁是否仍為 OK。</t>
  </si>
  <si>
    <t>時間</t>
  </si>
  <si>
    <t>場地 1</t>
  </si>
  <si>
    <t>場地 2</t>
  </si>
  <si>
    <t>場地 3</t>
  </si>
  <si>
    <t>對戰</t>
  </si>
  <si>
    <t>裁判</t>
  </si>
  <si>
    <t>12:00-13:00</t>
  </si>
  <si>
    <t>午休／預賽成績統計／六強種子排序</t>
  </si>
  <si>
    <t>16:00-17:00</t>
  </si>
  <si>
    <t>頒獎／場地整理／彈性補賽時段</t>
  </si>
  <si>
    <t>備註</t>
  </si>
  <si>
    <t>13:00：六強首輪（S3 vs S6、S4 vs S5）</t>
  </si>
  <si>
    <t>14:00：四強（S1 vs W1、S2 vs W2）＋ 5/6 名（L1 vs L2）</t>
  </si>
  <si>
    <t>15:00：冠軍賽（W3 vs W4）＋ 季軍賽（L3 vs L4）</t>
  </si>
  <si>
    <t>C1_T1</t>
  </si>
  <si>
    <t>C1_T2</t>
  </si>
  <si>
    <t>C1_REF</t>
  </si>
  <si>
    <t>C2_T1</t>
  </si>
  <si>
    <t>C2_T2</t>
  </si>
  <si>
    <t>C2_REF</t>
  </si>
  <si>
    <t>C3_T1</t>
  </si>
  <si>
    <t>C3_T2</t>
  </si>
  <si>
    <t>C3_REF</t>
  </si>
  <si>
    <t>09:00-10:00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</si>
  <si>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</si>
  <si>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</si>
  <si>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</si>
  <si>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</si>
  <si>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</si>
  <si>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</si>
  <si>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</si>
  <si>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</si>
  <si>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</si>
  <si>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10:00-11:00</t>
  </si>
  <si>
    <t>11:00-12:00</t>
  </si>
  <si>
    <t>13:00-14:00</t>
  </si>
  <si>
    <t>S3</t>
  </si>
  <si>
    <t>S6</t>
  </si>
  <si>
    <t>T3A</t>
  </si>
  <si>
    <t>S4</t>
  </si>
  <si>
    <t>S5</t>
  </si>
  <si>
    <t>T3B</t>
  </si>
  <si>
    <t>14:00-15:00</t>
  </si>
  <si>
    <t>S1</t>
  </si>
  <si>
    <t>W1</t>
  </si>
  <si>
    <t>T3C</t>
  </si>
  <si>
    <t>S2</t>
  </si>
  <si>
    <t>W2</t>
  </si>
  <si>
    <t>L1</t>
  </si>
  <si>
    <t>L2</t>
  </si>
  <si>
    <t>15:00-16:00</t>
  </si>
  <si>
    <t>W3</t>
  </si>
  <si>
    <t>W4</t>
  </si>
  <si>
    <t>L3</t>
  </si>
  <si>
    <t>L4</t>
  </si>
  <si>
    <t>代號</t>
  </si>
  <si>
    <t>隊名／學校／單位</t>
  </si>
  <si>
    <t>預賽 A 組</t>
  </si>
  <si>
    <t>填寫說明</t>
  </si>
  <si>
    <t>1. 先填 A～I 的實際隊名。</t>
  </si>
  <si>
    <t>2. 預賽結束後，再填 S1～S6、W1～W4、L1～L4、T3A～T3C。</t>
  </si>
  <si>
    <t>預賽 B 組</t>
  </si>
  <si>
    <t>3. 正式賽程表會自動帶出你在本表填的隊名。</t>
  </si>
  <si>
    <t>預賽 C 組</t>
  </si>
  <si>
    <t>六強種子 1（預賽後填入）</t>
  </si>
  <si>
    <t>六強種子 2（預賽後填入）</t>
  </si>
  <si>
    <t>六強種子 3（預賽後填入）</t>
  </si>
  <si>
    <t>六強種子 4（預賽後填入）</t>
  </si>
  <si>
    <t>六強種子 5（預賽後填入）</t>
  </si>
  <si>
    <t>六強種子 6（預賽後填入）</t>
  </si>
  <si>
    <t>13:00 第 1 場勝者</t>
  </si>
  <si>
    <t>13:00 第 2 場勝者</t>
  </si>
  <si>
    <t>13:00 第 1 場敗者</t>
  </si>
  <si>
    <t>13:00 第 2 場敗者</t>
  </si>
  <si>
    <t>14:00 場地 1 勝者</t>
  </si>
  <si>
    <t>14:00 場地 2 勝者</t>
  </si>
  <si>
    <t>14:00 場地 1 敗者</t>
  </si>
  <si>
    <t>14:00 場地 2 敗者</t>
  </si>
  <si>
    <t>各組第 3 名裁判隊伍</t>
  </si>
  <si>
    <t>場地1</t>
  </si>
  <si>
    <t>場地2</t>
  </si>
  <si>
    <t>場地3</t>
  </si>
  <si>
    <t>總結</t>
  </si>
  <si>
    <t>檢查說明</t>
  </si>
  <si>
    <t>OK：裁判沒有和自己隊伍出賽撞場，且同時段未重複執法。</t>
  </si>
  <si>
    <t>若你手動調整裁判代號，請看本頁總結欄是否仍為 OK。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</si>
</sst>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b/>
      <sz val="16"/>
      <color rgb="FFFFFFFF"/>
      <name val="新細明體"/>
      <family val="1"/>
      <charset val="136"/>
    </font>
    <font>
      <sz val="10"/>
      <color rgb="FF404040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color rgb="FF000000"/>
      <name val="新細明體"/>
      <family val="1"/>
      <charset val="136"/>
    </font>
    <font>
      <b/>
      <sz val="11"/>
      <color rgb="FF1F4E78"/>
      <name val="新細明體"/>
      <family val="1"/>
      <charset val="136"/>
    </font>
    <font>
      <b/>
      <sz val="11"/>
      <color rgb="FF666666"/>
      <name val="新細明體"/>
      <family val="1"/>
      <charset val="136"/>
    </font>
    <font>
      <b/>
      <sz val="11"/>
      <name val="新細明體"/>
      <family val="1"/>
      <charset val="136"/>
    </font>
    <font>
      <sz val="1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7F7"/>
      </patternFill>
    </fill>
    <fill>
      <patternFill patternType="solid">
        <fgColor rgb="FFD9EAF7"/>
      </patternFill>
    </fill>
    <fill>
      <patternFill patternType="solid">
        <fgColor rgb="FFEAF4FB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7FBFF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0" borderId="2" xfId="0" applyBorder="1"/>
    <xf numFmtId="0" fontId="7" fillId="0" borderId="2" xfId="0" applyFont="1" applyBorder="1"/>
    <xf numFmtId="0" fontId="3" fillId="2" borderId="0" xfId="0" applyFont="1" applyFill="1" applyAlignment="1">
      <alignment horizontal="center"/>
    </xf>
    <xf numFmtId="0" fontId="0" fillId="5" borderId="2" xfId="0" applyFill="1" applyBorder="1" applyAlignment="1">
      <alignment vertical="center"/>
    </xf>
    <xf numFmtId="0" fontId="3" fillId="2" borderId="0" xfId="0" applyFont="1" applyFill="1"/>
    <xf numFmtId="0" fontId="0" fillId="0" borderId="0" xfId="0" applyAlignment="1">
      <alignment wrapText="1"/>
    </xf>
    <xf numFmtId="0" fontId="0" fillId="0" borderId="2" xfId="0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11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pane ySplit="7" topLeftCell="A8" activePane="bottomLeft" state="frozen"/>
      <selection pane="bottomLeft" activeCell="B14" sqref="B14"/>
    </sheetView>
  </sheetViews>
  <sheetFormatPr defaultRowHeight="15" x14ac:dyDescent="0.3"/>
  <cols>
    <col min="1" max="1" width="14" customWidth="1"/>
    <col min="2" max="2" width="32" customWidth="1"/>
    <col min="3" max="3" width="18" customWidth="1"/>
    <col min="4" max="4" width="32" customWidth="1"/>
    <col min="5" max="5" width="18" customWidth="1"/>
    <col min="6" max="6" width="32" customWidth="1"/>
    <col min="7" max="7" width="18" customWidth="1"/>
  </cols>
  <sheetData>
    <row r="1" spans="1:7" ht="24" customHeight="1" x14ac:dyDescent="0.3">
      <c r="A1" s="19" t="s">
        <v>0</v>
      </c>
      <c r="B1" s="20"/>
      <c r="C1" s="20"/>
      <c r="D1" s="20"/>
      <c r="E1" s="20"/>
      <c r="F1" s="20"/>
      <c r="G1" s="20"/>
    </row>
    <row r="2" spans="1:7" ht="18" customHeight="1" x14ac:dyDescent="0.3">
      <c r="A2" s="22" t="s">
        <v>1</v>
      </c>
      <c r="B2" s="20"/>
      <c r="C2" s="20"/>
      <c r="D2" s="20"/>
      <c r="E2" s="20"/>
      <c r="F2" s="20"/>
      <c r="G2" s="20"/>
    </row>
    <row r="3" spans="1:7" ht="18" customHeight="1" x14ac:dyDescent="0.3">
      <c r="A3" s="22" t="s">
        <v>2</v>
      </c>
      <c r="B3" s="20"/>
      <c r="C3" s="20"/>
      <c r="D3" s="20"/>
      <c r="E3" s="20"/>
      <c r="F3" s="20"/>
      <c r="G3" s="20"/>
    </row>
    <row r="4" spans="1:7" ht="18" customHeight="1" x14ac:dyDescent="0.3">
      <c r="A4" s="22" t="s">
        <v>3</v>
      </c>
      <c r="B4" s="20"/>
      <c r="C4" s="20"/>
      <c r="D4" s="20"/>
      <c r="E4" s="20"/>
      <c r="F4" s="20"/>
      <c r="G4" s="20"/>
    </row>
    <row r="5" spans="1:7" ht="18" customHeight="1" x14ac:dyDescent="0.3">
      <c r="A5" s="22" t="s">
        <v>4</v>
      </c>
      <c r="B5" s="20"/>
      <c r="C5" s="20"/>
      <c r="D5" s="20"/>
      <c r="E5" s="20"/>
      <c r="F5" s="20"/>
      <c r="G5" s="20"/>
    </row>
    <row r="6" spans="1:7" x14ac:dyDescent="0.3">
      <c r="A6" s="1" t="s">
        <v>5</v>
      </c>
      <c r="B6" s="16" t="s">
        <v>6</v>
      </c>
      <c r="C6" s="16"/>
      <c r="D6" s="16" t="s">
        <v>7</v>
      </c>
      <c r="E6" s="16"/>
      <c r="F6" s="16" t="s">
        <v>8</v>
      </c>
      <c r="G6" s="16"/>
    </row>
    <row r="7" spans="1:7" x14ac:dyDescent="0.3">
      <c r="A7" s="2" t="s">
        <v>5</v>
      </c>
      <c r="B7" s="2" t="s">
        <v>9</v>
      </c>
      <c r="C7" s="2" t="s">
        <v>10</v>
      </c>
      <c r="D7" s="2" t="s">
        <v>9</v>
      </c>
      <c r="E7" s="2" t="s">
        <v>10</v>
      </c>
      <c r="F7" s="2" t="s">
        <v>9</v>
      </c>
      <c r="G7" s="2" t="s">
        <v>10</v>
      </c>
    </row>
    <row r="8" spans="1:7" ht="40.049999999999997" customHeight="1" x14ac:dyDescent="0.3">
      <c r="A8" s="3" t="str">
        <f>DATA!A2</f>
        <v>09:00-10:00</v>
      </c>
      <c r="B8" s="4" t="str">
        <f>IF(DATA!B2="","",DATA!B2&amp;IFERROR("（"&amp;VLOOKUP(DATA!B2,MAP!$A$2:$B$28,2,FALSE)&amp;"）","")&amp;" vs "&amp;DATA!C2&amp;IFERROR("（"&amp;VLOOKUP(DATA!C2,MAP!$A$2:$B$28,2,FALSE)&amp;"）",""))</f>
        <v>A（1） vs B（2）</v>
      </c>
      <c r="C8" s="4" t="str">
        <f>IF(DATA!D2="","",DATA!D2&amp;IFERROR("（"&amp;VLOOKUP(DATA!D2,MAP!$A$2:$B$28,2,FALSE)&amp;"）",""))</f>
        <v>C（3）</v>
      </c>
      <c r="D8" s="4" t="str">
        <f>IF(DATA!E2="","",DATA!E2&amp;IFERROR("（"&amp;VLOOKUP(DATA!E2,MAP!$A$2:$B$28,2,FALSE)&amp;"）","")&amp;" vs "&amp;DATA!F2&amp;IFERROR("（"&amp;VLOOKUP(DATA!F2,MAP!$A$2:$B$28,2,FALSE)&amp;"）",""))</f>
        <v>D（4） vs E（5）</v>
      </c>
      <c r="E8" s="4" t="str">
        <f>IF(DATA!G2="","",DATA!G2&amp;IFERROR("（"&amp;VLOOKUP(DATA!G2,MAP!$A$2:$B$28,2,FALSE)&amp;"）",""))</f>
        <v>F（6）</v>
      </c>
      <c r="F8" s="4" t="str">
        <f>IF(DATA!H2="","",DATA!H2&amp;IFERROR("（"&amp;VLOOKUP(DATA!H2,MAP!$A$2:$B$28,2,FALSE)&amp;"）","")&amp;" vs "&amp;DATA!I2&amp;IFERROR("（"&amp;VLOOKUP(DATA!I2,MAP!$A$2:$B$28,2,FALSE)&amp;"）",""))</f>
        <v>G（7） vs H（8）</v>
      </c>
      <c r="G8" s="4" t="str">
        <f>IF(DATA!J2="","",DATA!J2&amp;IFERROR("（"&amp;VLOOKUP(DATA!J2,MAP!$A$2:$B$28,2,FALSE)&amp;"）",""))</f>
        <v>I（9）</v>
      </c>
    </row>
    <row r="9" spans="1:7" ht="40.049999999999997" customHeight="1" x14ac:dyDescent="0.3">
      <c r="A9" s="3" t="str">
        <f>DATA!A3</f>
        <v>10:00-11:00</v>
      </c>
      <c r="B9" s="4" t="str">
        <f>IF(DATA!B3="","",DATA!B3&amp;IFERROR("（"&amp;VLOOKUP(DATA!B3,MAP!$A$2:$B$28,2,FALSE)&amp;"）","")&amp;" vs "&amp;DATA!C3&amp;IFERROR("（"&amp;VLOOKUP(DATA!C3,MAP!$A$2:$B$28,2,FALSE)&amp;"）",""))</f>
        <v>B（2） vs C（3）</v>
      </c>
      <c r="C9" s="4" t="str">
        <f>IF(DATA!D3="","",DATA!D3&amp;IFERROR("（"&amp;VLOOKUP(DATA!D3,MAP!$A$2:$B$28,2,FALSE)&amp;"）",""))</f>
        <v>A（1）</v>
      </c>
      <c r="D9" s="4" t="str">
        <f>IF(DATA!E3="","",DATA!E3&amp;IFERROR("（"&amp;VLOOKUP(DATA!E3,MAP!$A$2:$B$28,2,FALSE)&amp;"）","")&amp;" vs "&amp;DATA!F3&amp;IFERROR("（"&amp;VLOOKUP(DATA!F3,MAP!$A$2:$B$28,2,FALSE)&amp;"）",""))</f>
        <v>E（5） vs F（6）</v>
      </c>
      <c r="E9" s="4" t="str">
        <f>IF(DATA!G3="","",DATA!G3&amp;IFERROR("（"&amp;VLOOKUP(DATA!G3,MAP!$A$2:$B$28,2,FALSE)&amp;"）",""))</f>
        <v>D（4）</v>
      </c>
      <c r="F9" s="4" t="str">
        <f>IF(DATA!H3="","",DATA!H3&amp;IFERROR("（"&amp;VLOOKUP(DATA!H3,MAP!$A$2:$B$28,2,FALSE)&amp;"）","")&amp;" vs "&amp;DATA!I3&amp;IFERROR("（"&amp;VLOOKUP(DATA!I3,MAP!$A$2:$B$28,2,FALSE)&amp;"）",""))</f>
        <v>H（8） vs I（9）</v>
      </c>
      <c r="G9" s="4" t="str">
        <f>IF(DATA!J3="","",DATA!J3&amp;IFERROR("（"&amp;VLOOKUP(DATA!J3,MAP!$A$2:$B$28,2,FALSE)&amp;"）",""))</f>
        <v>G（7）</v>
      </c>
    </row>
    <row r="10" spans="1:7" ht="40.049999999999997" customHeight="1" x14ac:dyDescent="0.3">
      <c r="A10" s="3" t="str">
        <f>DATA!A4</f>
        <v>11:00-12:00</v>
      </c>
      <c r="B10" s="4" t="str">
        <f>IF(DATA!B4="","",DATA!B4&amp;IFERROR("（"&amp;VLOOKUP(DATA!B4,MAP!$A$2:$B$28,2,FALSE)&amp;"）","")&amp;" vs "&amp;DATA!C4&amp;IFERROR("（"&amp;VLOOKUP(DATA!C4,MAP!$A$2:$B$28,2,FALSE)&amp;"）",""))</f>
        <v>A（1） vs C（3）</v>
      </c>
      <c r="C10" s="4" t="str">
        <f>IF(DATA!D4="","",DATA!D4&amp;IFERROR("（"&amp;VLOOKUP(DATA!D4,MAP!$A$2:$B$28,2,FALSE)&amp;"）",""))</f>
        <v>B（2）</v>
      </c>
      <c r="D10" s="4" t="str">
        <f>IF(DATA!E4="","",DATA!E4&amp;IFERROR("（"&amp;VLOOKUP(DATA!E4,MAP!$A$2:$B$28,2,FALSE)&amp;"）","")&amp;" vs "&amp;DATA!F4&amp;IFERROR("（"&amp;VLOOKUP(DATA!F4,MAP!$A$2:$B$28,2,FALSE)&amp;"）",""))</f>
        <v>D（4） vs F（6）</v>
      </c>
      <c r="E10" s="4" t="str">
        <f>IF(DATA!G4="","",DATA!G4&amp;IFERROR("（"&amp;VLOOKUP(DATA!G4,MAP!$A$2:$B$28,2,FALSE)&amp;"）",""))</f>
        <v>E（5）</v>
      </c>
      <c r="F10" s="4" t="str">
        <f>IF(DATA!H4="","",DATA!H4&amp;IFERROR("（"&amp;VLOOKUP(DATA!H4,MAP!$A$2:$B$28,2,FALSE)&amp;"）","")&amp;" vs "&amp;DATA!I4&amp;IFERROR("（"&amp;VLOOKUP(DATA!I4,MAP!$A$2:$B$28,2,FALSE)&amp;"）",""))</f>
        <v>G（7） vs I（9）</v>
      </c>
      <c r="G10" s="4" t="str">
        <f>IF(DATA!J4="","",DATA!J4&amp;IFERROR("（"&amp;VLOOKUP(DATA!J4,MAP!$A$2:$B$28,2,FALSE)&amp;"）",""))</f>
        <v>H（8）</v>
      </c>
    </row>
    <row r="11" spans="1:7" ht="28.05" customHeight="1" x14ac:dyDescent="0.3">
      <c r="A11" s="3" t="s">
        <v>11</v>
      </c>
      <c r="B11" s="21" t="s">
        <v>12</v>
      </c>
      <c r="C11" s="18"/>
      <c r="D11" s="18"/>
      <c r="E11" s="18"/>
      <c r="F11" s="18"/>
      <c r="G11" s="18"/>
    </row>
    <row r="12" spans="1:7" ht="40.049999999999997" customHeight="1" x14ac:dyDescent="0.3">
      <c r="A12" s="3" t="str">
        <f>DATA!A6</f>
        <v>13:00-14:00</v>
      </c>
      <c r="B12" s="4" t="str">
        <f>IF(DATA!B6="","",DATA!B6&amp;IFERROR("（"&amp;VLOOKUP(DATA!B6,MAP!$A$2:$B$28,2,FALSE)&amp;"）","")&amp;" vs "&amp;DATA!C6&amp;IFERROR("（"&amp;VLOOKUP(DATA!C6,MAP!$A$2:$B$28,2,FALSE)&amp;"）",""))</f>
        <v>S3（0） vs S6（0）</v>
      </c>
      <c r="C12" s="4" t="str">
        <f>IF(DATA!D6="","",DATA!D6&amp;IFERROR("（"&amp;VLOOKUP(DATA!D6,MAP!$A$2:$B$28,2,FALSE)&amp;"）",""))</f>
        <v>T3A（0）</v>
      </c>
      <c r="D12" s="4" t="str">
        <f>IF(DATA!E6="","",DATA!E6&amp;IFERROR("（"&amp;VLOOKUP(DATA!E6,MAP!$A$2:$B$28,2,FALSE)&amp;"）","")&amp;" vs "&amp;DATA!F6&amp;IFERROR("（"&amp;VLOOKUP(DATA!F6,MAP!$A$2:$B$28,2,FALSE)&amp;"）",""))</f>
        <v>S4（0） vs S5（0）</v>
      </c>
      <c r="E12" s="4" t="str">
        <f>IF(DATA!G6="","",DATA!G6&amp;IFERROR("（"&amp;VLOOKUP(DATA!G6,MAP!$A$2:$B$28,2,FALSE)&amp;"）",""))</f>
        <v>T3B（0）</v>
      </c>
      <c r="F12" s="4" t="str">
        <f>IF(DATA!H6="","",DATA!H6&amp;IFERROR("（"&amp;VLOOKUP(DATA!H6,MAP!$A$2:$B$28,2,FALSE)&amp;"）","")&amp;" vs "&amp;DATA!I6&amp;IFERROR("（"&amp;VLOOKUP(DATA!I6,MAP!$A$2:$B$28,2,FALSE)&amp;"）",""))</f>
        <v/>
      </c>
      <c r="G12" s="4" t="str">
        <f>IF(DATA!J6="","",DATA!J6&amp;IFERROR("（"&amp;VLOOKUP(DATA!J6,MAP!$A$2:$B$28,2,FALSE)&amp;"）",""))</f>
        <v/>
      </c>
    </row>
    <row r="13" spans="1:7" ht="40.049999999999997" customHeight="1" x14ac:dyDescent="0.3">
      <c r="A13" s="3" t="str">
        <f>DATA!A7</f>
        <v>14:00-15:00</v>
      </c>
      <c r="B13" s="4" t="str">
        <f>IF(DATA!B7="","",DATA!B7&amp;IFERROR("（"&amp;VLOOKUP(DATA!B7,MAP!$A$2:$B$28,2,FALSE)&amp;"）","")&amp;" vs "&amp;DATA!C7&amp;IFERROR("（"&amp;VLOOKUP(DATA!C7,MAP!$A$2:$B$28,2,FALSE)&amp;"）",""))</f>
        <v>S1（0） vs W1（0）</v>
      </c>
      <c r="C13" s="4" t="str">
        <f>IF(DATA!D7="","",DATA!D7&amp;IFERROR("（"&amp;VLOOKUP(DATA!D7,MAP!$A$2:$B$28,2,FALSE)&amp;"）",""))</f>
        <v>T3C（0）</v>
      </c>
      <c r="D13" s="4" t="str">
        <f>IF(DATA!E7="","",DATA!E7&amp;IFERROR("（"&amp;VLOOKUP(DATA!E7,MAP!$A$2:$B$28,2,FALSE)&amp;"）","")&amp;" vs "&amp;DATA!F7&amp;IFERROR("（"&amp;VLOOKUP(DATA!F7,MAP!$A$2:$B$28,2,FALSE)&amp;"）",""))</f>
        <v>S2（0） vs W2（0）</v>
      </c>
      <c r="E13" s="4" t="str">
        <f>IF(DATA!G7="","",DATA!G7&amp;IFERROR("（"&amp;VLOOKUP(DATA!G7,MAP!$A$2:$B$28,2,FALSE)&amp;"）",""))</f>
        <v>T3A（0）</v>
      </c>
      <c r="F13" s="4" t="str">
        <f>IF(DATA!H7="","",DATA!H7&amp;IFERROR("（"&amp;VLOOKUP(DATA!H7,MAP!$A$2:$B$28,2,FALSE)&amp;"）","")&amp;" vs "&amp;DATA!I7&amp;IFERROR("（"&amp;VLOOKUP(DATA!I7,MAP!$A$2:$B$28,2,FALSE)&amp;"）",""))</f>
        <v>L1（0） vs L2（0）</v>
      </c>
      <c r="G13" s="4" t="str">
        <f>IF(DATA!J7="","",DATA!J7&amp;IFERROR("（"&amp;VLOOKUP(DATA!J7,MAP!$A$2:$B$28,2,FALSE)&amp;"）",""))</f>
        <v>T3B（0）</v>
      </c>
    </row>
    <row r="14" spans="1:7" ht="40.049999999999997" customHeight="1" x14ac:dyDescent="0.3">
      <c r="A14" s="3" t="str">
        <f>DATA!A8</f>
        <v>15:00-16:00</v>
      </c>
      <c r="B14" s="4" t="str">
        <f>IF(DATA!B8="","",DATA!B8&amp;IFERROR("（"&amp;VLOOKUP(DATA!B8,MAP!$A$2:$B$28,2,FALSE)&amp;"）","")&amp;" vs "&amp;DATA!C8&amp;IFERROR("（"&amp;VLOOKUP(DATA!C8,MAP!$A$2:$B$28,2,FALSE)&amp;"）",""))</f>
        <v>W3（0） vs W4（0）</v>
      </c>
      <c r="C14" s="4" t="str">
        <f>IF(DATA!D8="","",DATA!D8&amp;IFERROR("（"&amp;VLOOKUP(DATA!D8,MAP!$A$2:$B$28,2,FALSE)&amp;"）",""))</f>
        <v>T3C（0）</v>
      </c>
      <c r="D14" s="4" t="str">
        <f>IF(DATA!E8="","",DATA!E8&amp;IFERROR("（"&amp;VLOOKUP(DATA!E8,MAP!$A$2:$B$28,2,FALSE)&amp;"）","")&amp;" vs "&amp;DATA!F8&amp;IFERROR("（"&amp;VLOOKUP(DATA!F8,MAP!$A$2:$B$28,2,FALSE)&amp;"）",""))</f>
        <v>L3（0） vs L4（0）</v>
      </c>
      <c r="E14" s="4" t="str">
        <f>IF(DATA!G8="","",DATA!G8&amp;IFERROR("（"&amp;VLOOKUP(DATA!G8,MAP!$A$2:$B$28,2,FALSE)&amp;"）",""))</f>
        <v>T3A（0）</v>
      </c>
      <c r="F14" s="4" t="str">
        <f>IF(DATA!H8="","",DATA!H8&amp;IFERROR("（"&amp;VLOOKUP(DATA!H8,MAP!$A$2:$B$28,2,FALSE)&amp;"）","")&amp;" vs "&amp;DATA!I8&amp;IFERROR("（"&amp;VLOOKUP(DATA!I8,MAP!$A$2:$B$28,2,FALSE)&amp;"）",""))</f>
        <v/>
      </c>
      <c r="G14" s="4" t="str">
        <f>IF(DATA!J8="","",DATA!J8&amp;IFERROR("（"&amp;VLOOKUP(DATA!J8,MAP!$A$2:$B$28,2,FALSE)&amp;"）",""))</f>
        <v/>
      </c>
    </row>
    <row r="15" spans="1:7" ht="40.049999999999997" customHeight="1" x14ac:dyDescent="0.3">
      <c r="A15" s="3" t="s">
        <v>13</v>
      </c>
      <c r="B15" s="21" t="s">
        <v>14</v>
      </c>
      <c r="C15" s="18"/>
      <c r="D15" s="18"/>
      <c r="E15" s="18"/>
      <c r="F15" s="18"/>
      <c r="G15" s="18"/>
    </row>
    <row r="16" spans="1:7" ht="19.95" customHeight="1" x14ac:dyDescent="0.3">
      <c r="A16" s="6" t="s">
        <v>15</v>
      </c>
      <c r="B16" s="17" t="s">
        <v>16</v>
      </c>
      <c r="C16" s="18"/>
      <c r="D16" s="18"/>
      <c r="E16" s="18"/>
      <c r="F16" s="18"/>
      <c r="G16" s="18"/>
    </row>
    <row r="17" spans="1:7" ht="19.95" customHeight="1" x14ac:dyDescent="0.3">
      <c r="A17" s="5"/>
      <c r="B17" s="17" t="s">
        <v>17</v>
      </c>
      <c r="C17" s="18"/>
      <c r="D17" s="18"/>
      <c r="E17" s="18"/>
      <c r="F17" s="18"/>
      <c r="G17" s="18"/>
    </row>
    <row r="18" spans="1:7" ht="19.95" customHeight="1" x14ac:dyDescent="0.3">
      <c r="A18" s="5"/>
      <c r="B18" s="17" t="s">
        <v>18</v>
      </c>
      <c r="C18" s="18"/>
      <c r="D18" s="18"/>
      <c r="E18" s="18"/>
      <c r="F18" s="18"/>
      <c r="G18" s="18"/>
    </row>
  </sheetData>
  <mergeCells count="13">
    <mergeCell ref="B17:G17"/>
    <mergeCell ref="A4:G4"/>
    <mergeCell ref="A2:G2"/>
    <mergeCell ref="F6:G6"/>
    <mergeCell ref="B18:G18"/>
    <mergeCell ref="B15:G15"/>
    <mergeCell ref="A5:G5"/>
    <mergeCell ref="D6:E6"/>
    <mergeCell ref="B6:C6"/>
    <mergeCell ref="B16:G16"/>
    <mergeCell ref="A1:G1"/>
    <mergeCell ref="B11:G11"/>
    <mergeCell ref="A3:G3"/>
  </mergeCells>
  <phoneticPr fontId="9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/>
  </sheetViews>
  <sheetFormatPr defaultRowHeight="15" x14ac:dyDescent="0.3"/>
  <sheetData>
    <row r="1" spans="1:10" x14ac:dyDescent="0.3">
      <c r="A1" t="s">
        <v>5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</row>
    <row r="3" spans="1:10" x14ac:dyDescent="0.3">
      <c r="A3" t="s">
        <v>38</v>
      </c>
      <c r="B3" t="s">
        <v>30</v>
      </c>
      <c r="C3" t="s">
        <v>31</v>
      </c>
      <c r="D3" t="s">
        <v>29</v>
      </c>
      <c r="E3" t="s">
        <v>33</v>
      </c>
      <c r="F3" t="s">
        <v>34</v>
      </c>
      <c r="G3" t="s">
        <v>32</v>
      </c>
      <c r="H3" t="s">
        <v>36</v>
      </c>
      <c r="I3" t="s">
        <v>37</v>
      </c>
      <c r="J3" t="s">
        <v>35</v>
      </c>
    </row>
    <row r="4" spans="1:10" x14ac:dyDescent="0.3">
      <c r="A4" t="s">
        <v>39</v>
      </c>
      <c r="B4" t="s">
        <v>29</v>
      </c>
      <c r="C4" t="s">
        <v>31</v>
      </c>
      <c r="D4" t="s">
        <v>30</v>
      </c>
      <c r="E4" t="s">
        <v>32</v>
      </c>
      <c r="F4" t="s">
        <v>34</v>
      </c>
      <c r="G4" t="s">
        <v>33</v>
      </c>
      <c r="H4" t="s">
        <v>35</v>
      </c>
      <c r="I4" t="s">
        <v>37</v>
      </c>
      <c r="J4" t="s">
        <v>36</v>
      </c>
    </row>
    <row r="5" spans="1:10" x14ac:dyDescent="0.3">
      <c r="A5" t="s">
        <v>11</v>
      </c>
    </row>
    <row r="6" spans="1:10" x14ac:dyDescent="0.3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</row>
    <row r="7" spans="1:10" x14ac:dyDescent="0.3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43</v>
      </c>
      <c r="H7" t="s">
        <v>53</v>
      </c>
      <c r="I7" t="s">
        <v>54</v>
      </c>
      <c r="J7" t="s">
        <v>46</v>
      </c>
    </row>
    <row r="8" spans="1:10" x14ac:dyDescent="0.3">
      <c r="A8" t="s">
        <v>55</v>
      </c>
      <c r="B8" t="s">
        <v>56</v>
      </c>
      <c r="C8" t="s">
        <v>57</v>
      </c>
      <c r="D8" t="s">
        <v>50</v>
      </c>
      <c r="E8" t="s">
        <v>58</v>
      </c>
      <c r="F8" t="s">
        <v>59</v>
      </c>
      <c r="G8" t="s">
        <v>43</v>
      </c>
    </row>
    <row r="9" spans="1:10" x14ac:dyDescent="0.3">
      <c r="A9" t="s">
        <v>13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pane ySplit="1" topLeftCell="A4" activePane="bottomLeft" state="frozen"/>
      <selection pane="bottomLeft" activeCell="B11" sqref="B11"/>
    </sheetView>
  </sheetViews>
  <sheetFormatPr defaultRowHeight="15" x14ac:dyDescent="0.3"/>
  <cols>
    <col min="1" max="1" width="12" customWidth="1"/>
    <col min="2" max="2" width="28" customWidth="1"/>
    <col min="3" max="3" width="30" customWidth="1"/>
  </cols>
  <sheetData>
    <row r="1" spans="1:5" x14ac:dyDescent="0.3">
      <c r="A1" s="7" t="s">
        <v>60</v>
      </c>
      <c r="B1" s="7" t="s">
        <v>61</v>
      </c>
      <c r="C1" s="7" t="s">
        <v>15</v>
      </c>
    </row>
    <row r="2" spans="1:5" x14ac:dyDescent="0.3">
      <c r="A2" s="8" t="s">
        <v>29</v>
      </c>
      <c r="B2" s="8">
        <v>1</v>
      </c>
      <c r="C2" s="8" t="s">
        <v>62</v>
      </c>
      <c r="E2" s="9" t="s">
        <v>63</v>
      </c>
    </row>
    <row r="3" spans="1:5" ht="60" x14ac:dyDescent="0.3">
      <c r="A3" s="8" t="s">
        <v>30</v>
      </c>
      <c r="B3" s="8">
        <v>2</v>
      </c>
      <c r="C3" s="8" t="s">
        <v>62</v>
      </c>
      <c r="E3" s="10" t="s">
        <v>64</v>
      </c>
    </row>
    <row r="4" spans="1:5" ht="135" x14ac:dyDescent="0.3">
      <c r="A4" s="8" t="s">
        <v>31</v>
      </c>
      <c r="B4" s="8">
        <v>3</v>
      </c>
      <c r="C4" s="8" t="s">
        <v>62</v>
      </c>
      <c r="E4" s="10" t="s">
        <v>65</v>
      </c>
    </row>
    <row r="5" spans="1:5" ht="105" x14ac:dyDescent="0.3">
      <c r="A5" s="8" t="s">
        <v>32</v>
      </c>
      <c r="B5" s="8">
        <v>4</v>
      </c>
      <c r="C5" s="8" t="s">
        <v>66</v>
      </c>
      <c r="E5" s="10" t="s">
        <v>67</v>
      </c>
    </row>
    <row r="6" spans="1:5" x14ac:dyDescent="0.3">
      <c r="A6" s="8" t="s">
        <v>33</v>
      </c>
      <c r="B6" s="8">
        <v>5</v>
      </c>
      <c r="C6" s="8" t="s">
        <v>66</v>
      </c>
    </row>
    <row r="7" spans="1:5" x14ac:dyDescent="0.3">
      <c r="A7" s="8" t="s">
        <v>34</v>
      </c>
      <c r="B7" s="8">
        <v>6</v>
      </c>
      <c r="C7" s="8" t="s">
        <v>66</v>
      </c>
    </row>
    <row r="8" spans="1:5" x14ac:dyDescent="0.3">
      <c r="A8" s="8" t="s">
        <v>35</v>
      </c>
      <c r="B8" s="8">
        <v>7</v>
      </c>
      <c r="C8" s="8" t="s">
        <v>68</v>
      </c>
    </row>
    <row r="9" spans="1:5" x14ac:dyDescent="0.3">
      <c r="A9" s="8" t="s">
        <v>36</v>
      </c>
      <c r="B9" s="8">
        <v>8</v>
      </c>
      <c r="C9" s="8" t="s">
        <v>68</v>
      </c>
    </row>
    <row r="10" spans="1:5" x14ac:dyDescent="0.3">
      <c r="A10" s="8" t="s">
        <v>37</v>
      </c>
      <c r="B10" s="8">
        <v>9</v>
      </c>
      <c r="C10" s="8" t="s">
        <v>68</v>
      </c>
    </row>
    <row r="11" spans="1:5" x14ac:dyDescent="0.3">
      <c r="A11" s="11"/>
      <c r="B11" s="11"/>
      <c r="C11" s="11"/>
    </row>
    <row r="12" spans="1:5" x14ac:dyDescent="0.3">
      <c r="A12" s="12" t="s">
        <v>48</v>
      </c>
      <c r="B12" s="12"/>
      <c r="C12" s="12" t="s">
        <v>69</v>
      </c>
    </row>
    <row r="13" spans="1:5" x14ac:dyDescent="0.3">
      <c r="A13" s="12" t="s">
        <v>51</v>
      </c>
      <c r="B13" s="12"/>
      <c r="C13" s="12" t="s">
        <v>70</v>
      </c>
    </row>
    <row r="14" spans="1:5" x14ac:dyDescent="0.3">
      <c r="A14" s="12" t="s">
        <v>41</v>
      </c>
      <c r="B14" s="12"/>
      <c r="C14" s="12" t="s">
        <v>71</v>
      </c>
    </row>
    <row r="15" spans="1:5" x14ac:dyDescent="0.3">
      <c r="A15" s="12" t="s">
        <v>44</v>
      </c>
      <c r="B15" s="12"/>
      <c r="C15" s="12" t="s">
        <v>72</v>
      </c>
    </row>
    <row r="16" spans="1:5" x14ac:dyDescent="0.3">
      <c r="A16" s="12" t="s">
        <v>45</v>
      </c>
      <c r="B16" s="12"/>
      <c r="C16" s="12" t="s">
        <v>73</v>
      </c>
    </row>
    <row r="17" spans="1:3" x14ac:dyDescent="0.3">
      <c r="A17" s="12" t="s">
        <v>42</v>
      </c>
      <c r="B17" s="12"/>
      <c r="C17" s="12" t="s">
        <v>74</v>
      </c>
    </row>
    <row r="18" spans="1:3" x14ac:dyDescent="0.3">
      <c r="A18" s="13" t="s">
        <v>49</v>
      </c>
      <c r="B18" s="13"/>
      <c r="C18" s="13" t="s">
        <v>75</v>
      </c>
    </row>
    <row r="19" spans="1:3" x14ac:dyDescent="0.3">
      <c r="A19" s="13" t="s">
        <v>52</v>
      </c>
      <c r="B19" s="13"/>
      <c r="C19" s="13" t="s">
        <v>76</v>
      </c>
    </row>
    <row r="20" spans="1:3" x14ac:dyDescent="0.3">
      <c r="A20" s="13" t="s">
        <v>53</v>
      </c>
      <c r="B20" s="13"/>
      <c r="C20" s="13" t="s">
        <v>77</v>
      </c>
    </row>
    <row r="21" spans="1:3" x14ac:dyDescent="0.3">
      <c r="A21" s="13" t="s">
        <v>54</v>
      </c>
      <c r="B21" s="13"/>
      <c r="C21" s="13" t="s">
        <v>78</v>
      </c>
    </row>
    <row r="22" spans="1:3" x14ac:dyDescent="0.3">
      <c r="A22" s="13" t="s">
        <v>56</v>
      </c>
      <c r="B22" s="13"/>
      <c r="C22" s="13" t="s">
        <v>79</v>
      </c>
    </row>
    <row r="23" spans="1:3" x14ac:dyDescent="0.3">
      <c r="A23" s="13" t="s">
        <v>57</v>
      </c>
      <c r="B23" s="13"/>
      <c r="C23" s="13" t="s">
        <v>80</v>
      </c>
    </row>
    <row r="24" spans="1:3" x14ac:dyDescent="0.3">
      <c r="A24" s="13" t="s">
        <v>58</v>
      </c>
      <c r="B24" s="13"/>
      <c r="C24" s="13" t="s">
        <v>81</v>
      </c>
    </row>
    <row r="25" spans="1:3" x14ac:dyDescent="0.3">
      <c r="A25" s="13" t="s">
        <v>59</v>
      </c>
      <c r="B25" s="13"/>
      <c r="C25" s="13" t="s">
        <v>82</v>
      </c>
    </row>
    <row r="26" spans="1:3" x14ac:dyDescent="0.3">
      <c r="A26" s="14" t="s">
        <v>43</v>
      </c>
      <c r="B26" s="14"/>
      <c r="C26" s="14" t="s">
        <v>83</v>
      </c>
    </row>
    <row r="27" spans="1:3" x14ac:dyDescent="0.3">
      <c r="A27" s="14" t="s">
        <v>46</v>
      </c>
      <c r="B27" s="14"/>
      <c r="C27" s="14" t="s">
        <v>83</v>
      </c>
    </row>
    <row r="28" spans="1:3" x14ac:dyDescent="0.3">
      <c r="A28" s="14" t="s">
        <v>50</v>
      </c>
      <c r="B28" s="14"/>
      <c r="C28" s="14" t="s">
        <v>83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defaultRowHeight="15" x14ac:dyDescent="0.3"/>
  <sheetData>
    <row r="1" spans="1:2" x14ac:dyDescent="0.3">
      <c r="A1" t="str">
        <f>隊伍填寫!A1</f>
        <v>代號</v>
      </c>
      <c r="B1" t="str">
        <f>隊伍填寫!B1</f>
        <v>隊名／學校／單位</v>
      </c>
    </row>
    <row r="2" spans="1:2" x14ac:dyDescent="0.3">
      <c r="A2" t="str">
        <f>隊伍填寫!A2</f>
        <v>A</v>
      </c>
      <c r="B2">
        <f>隊伍填寫!B2</f>
        <v>1</v>
      </c>
    </row>
    <row r="3" spans="1:2" x14ac:dyDescent="0.3">
      <c r="A3" t="str">
        <f>隊伍填寫!A3</f>
        <v>B</v>
      </c>
      <c r="B3">
        <f>隊伍填寫!B3</f>
        <v>2</v>
      </c>
    </row>
    <row r="4" spans="1:2" x14ac:dyDescent="0.3">
      <c r="A4" t="str">
        <f>隊伍填寫!A4</f>
        <v>C</v>
      </c>
      <c r="B4">
        <f>隊伍填寫!B4</f>
        <v>3</v>
      </c>
    </row>
    <row r="5" spans="1:2" x14ac:dyDescent="0.3">
      <c r="A5" t="str">
        <f>隊伍填寫!A5</f>
        <v>D</v>
      </c>
      <c r="B5">
        <f>隊伍填寫!B5</f>
        <v>4</v>
      </c>
    </row>
    <row r="6" spans="1:2" x14ac:dyDescent="0.3">
      <c r="A6" t="str">
        <f>隊伍填寫!A6</f>
        <v>E</v>
      </c>
      <c r="B6">
        <f>隊伍填寫!B6</f>
        <v>5</v>
      </c>
    </row>
    <row r="7" spans="1:2" x14ac:dyDescent="0.3">
      <c r="A7" t="str">
        <f>隊伍填寫!A7</f>
        <v>F</v>
      </c>
      <c r="B7">
        <f>隊伍填寫!B7</f>
        <v>6</v>
      </c>
    </row>
    <row r="8" spans="1:2" x14ac:dyDescent="0.3">
      <c r="A8" t="str">
        <f>隊伍填寫!A8</f>
        <v>G</v>
      </c>
      <c r="B8">
        <f>隊伍填寫!B8</f>
        <v>7</v>
      </c>
    </row>
    <row r="9" spans="1:2" x14ac:dyDescent="0.3">
      <c r="A9" t="str">
        <f>隊伍填寫!A9</f>
        <v>H</v>
      </c>
      <c r="B9">
        <f>隊伍填寫!B9</f>
        <v>8</v>
      </c>
    </row>
    <row r="10" spans="1:2" x14ac:dyDescent="0.3">
      <c r="A10" t="str">
        <f>隊伍填寫!A10</f>
        <v>I</v>
      </c>
      <c r="B10">
        <f>隊伍填寫!B10</f>
        <v>9</v>
      </c>
    </row>
    <row r="11" spans="1:2" x14ac:dyDescent="0.3">
      <c r="A11">
        <f>隊伍填寫!A11</f>
        <v>0</v>
      </c>
      <c r="B11">
        <f>隊伍填寫!B11</f>
        <v>0</v>
      </c>
    </row>
    <row r="12" spans="1:2" x14ac:dyDescent="0.3">
      <c r="A12" t="str">
        <f>隊伍填寫!A12</f>
        <v>S1</v>
      </c>
      <c r="B12">
        <f>隊伍填寫!B12</f>
        <v>0</v>
      </c>
    </row>
    <row r="13" spans="1:2" x14ac:dyDescent="0.3">
      <c r="A13" t="str">
        <f>隊伍填寫!A13</f>
        <v>S2</v>
      </c>
      <c r="B13">
        <f>隊伍填寫!B13</f>
        <v>0</v>
      </c>
    </row>
    <row r="14" spans="1:2" x14ac:dyDescent="0.3">
      <c r="A14" t="str">
        <f>隊伍填寫!A14</f>
        <v>S3</v>
      </c>
      <c r="B14">
        <f>隊伍填寫!B14</f>
        <v>0</v>
      </c>
    </row>
    <row r="15" spans="1:2" x14ac:dyDescent="0.3">
      <c r="A15" t="str">
        <f>隊伍填寫!A15</f>
        <v>S4</v>
      </c>
      <c r="B15">
        <f>隊伍填寫!B15</f>
        <v>0</v>
      </c>
    </row>
    <row r="16" spans="1:2" x14ac:dyDescent="0.3">
      <c r="A16" t="str">
        <f>隊伍填寫!A16</f>
        <v>S5</v>
      </c>
      <c r="B16">
        <f>隊伍填寫!B16</f>
        <v>0</v>
      </c>
    </row>
    <row r="17" spans="1:2" x14ac:dyDescent="0.3">
      <c r="A17" t="str">
        <f>隊伍填寫!A17</f>
        <v>S6</v>
      </c>
      <c r="B17">
        <f>隊伍填寫!B17</f>
        <v>0</v>
      </c>
    </row>
    <row r="18" spans="1:2" x14ac:dyDescent="0.3">
      <c r="A18" t="str">
        <f>隊伍填寫!A18</f>
        <v>W1</v>
      </c>
      <c r="B18">
        <f>隊伍填寫!B18</f>
        <v>0</v>
      </c>
    </row>
    <row r="19" spans="1:2" x14ac:dyDescent="0.3">
      <c r="A19" t="str">
        <f>隊伍填寫!A19</f>
        <v>W2</v>
      </c>
      <c r="B19">
        <f>隊伍填寫!B19</f>
        <v>0</v>
      </c>
    </row>
    <row r="20" spans="1:2" x14ac:dyDescent="0.3">
      <c r="A20" t="str">
        <f>隊伍填寫!A20</f>
        <v>L1</v>
      </c>
      <c r="B20">
        <f>隊伍填寫!B20</f>
        <v>0</v>
      </c>
    </row>
    <row r="21" spans="1:2" x14ac:dyDescent="0.3">
      <c r="A21" t="str">
        <f>隊伍填寫!A21</f>
        <v>L2</v>
      </c>
      <c r="B21">
        <f>隊伍填寫!B21</f>
        <v>0</v>
      </c>
    </row>
    <row r="22" spans="1:2" x14ac:dyDescent="0.3">
      <c r="A22" t="str">
        <f>隊伍填寫!A22</f>
        <v>W3</v>
      </c>
      <c r="B22">
        <f>隊伍填寫!B22</f>
        <v>0</v>
      </c>
    </row>
    <row r="23" spans="1:2" x14ac:dyDescent="0.3">
      <c r="A23" t="str">
        <f>隊伍填寫!A23</f>
        <v>W4</v>
      </c>
      <c r="B23">
        <f>隊伍填寫!B23</f>
        <v>0</v>
      </c>
    </row>
    <row r="24" spans="1:2" x14ac:dyDescent="0.3">
      <c r="A24" t="str">
        <f>隊伍填寫!A24</f>
        <v>L3</v>
      </c>
      <c r="B24">
        <f>隊伍填寫!B24</f>
        <v>0</v>
      </c>
    </row>
    <row r="25" spans="1:2" x14ac:dyDescent="0.3">
      <c r="A25" t="str">
        <f>隊伍填寫!A25</f>
        <v>L4</v>
      </c>
      <c r="B25">
        <f>隊伍填寫!B25</f>
        <v>0</v>
      </c>
    </row>
    <row r="26" spans="1:2" x14ac:dyDescent="0.3">
      <c r="A26" t="str">
        <f>隊伍填寫!A26</f>
        <v>T3A</v>
      </c>
      <c r="B26">
        <f>隊伍填寫!B26</f>
        <v>0</v>
      </c>
    </row>
    <row r="27" spans="1:2" x14ac:dyDescent="0.3">
      <c r="A27" t="str">
        <f>隊伍填寫!A27</f>
        <v>T3B</v>
      </c>
      <c r="B27">
        <f>隊伍填寫!B27</f>
        <v>0</v>
      </c>
    </row>
    <row r="28" spans="1:2" x14ac:dyDescent="0.3">
      <c r="A28" t="str">
        <f>隊伍填寫!A28</f>
        <v>T3C</v>
      </c>
      <c r="B28">
        <f>隊伍填寫!B28</f>
        <v>0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5" x14ac:dyDescent="0.3"/>
  <cols>
    <col min="1" max="1" width="14" customWidth="1"/>
    <col min="2" max="5" width="12" customWidth="1"/>
    <col min="7" max="7" width="44" customWidth="1"/>
  </cols>
  <sheetData>
    <row r="1" spans="1:7" x14ac:dyDescent="0.3">
      <c r="A1" s="7" t="s">
        <v>5</v>
      </c>
      <c r="B1" s="7" t="s">
        <v>84</v>
      </c>
      <c r="C1" s="7" t="s">
        <v>85</v>
      </c>
      <c r="D1" s="7" t="s">
        <v>86</v>
      </c>
      <c r="E1" s="7" t="s">
        <v>87</v>
      </c>
    </row>
    <row r="2" spans="1:7" x14ac:dyDescent="0.3">
      <c r="A2" s="15" t="str">
        <f>DATA!A2</f>
        <v>09:00-10:00</v>
      </c>
      <c r="B2" s="15" t="str">
        <f>IF(DATA!B2="","",IF(OR(DATA!D2=DATA!B2,DATA!D2=DATA!C2,DATA!D2=DATA!E2,DATA!D2=DATA!F2,DATA!D2=DATA!H2,DATA!D2=DATA!I2,AND(DATA!D2&lt;&gt;"",DATA!D2=DATA!G2),AND(DATA!D2&lt;&gt;"",DATA!D2=DATA!J2)),"衝突","OK"))</f>
        <v>OK</v>
      </c>
      <c r="C2" s="15" t="str">
        <f>IF(DATA!E2="","",IF(OR(DATA!G2=DATA!B2,DATA!G2=DATA!C2,DATA!G2=DATA!E2,DATA!G2=DATA!F2,DATA!G2=DATA!H2,DATA!G2=DATA!I2,AND(DATA!G2&lt;&gt;"",DATA!G2=DATA!D2),AND(DATA!G2&lt;&gt;"",DATA!G2=DATA!J2)),"衝突","OK"))</f>
        <v>OK</v>
      </c>
      <c r="D2" s="15" t="str">
        <f>IF(DATA!H2="","",IF(OR(DATA!J2=DATA!B2,DATA!J2=DATA!C2,DATA!J2=DATA!E2,DATA!J2=DATA!F2,DATA!J2=DATA!H2,DATA!J2=DATA!I2,AND(DATA!J2&lt;&gt;"",DATA!J2=DATA!D2),AND(DATA!J2&lt;&gt;"",DATA!J2=DATA!G2)),"衝突","OK"))</f>
        <v>OK</v>
      </c>
      <c r="E2" s="15" t="str">
        <f t="shared" ref="E2:E9" si="0">IF(COUNTIF(B2:D2,"衝突")&gt;0,"需調整","OK")</f>
        <v>OK</v>
      </c>
      <c r="G2" s="9" t="s">
        <v>88</v>
      </c>
    </row>
    <row r="3" spans="1:7" ht="30" x14ac:dyDescent="0.3">
      <c r="A3" s="15" t="str">
        <f>DATA!A3</f>
        <v>10:00-11:00</v>
      </c>
      <c r="B3" s="15" t="str">
        <f>IF(DATA!B3="","",IF(OR(DATA!D3=DATA!B3,DATA!D3=DATA!C3,DATA!D3=DATA!E3,DATA!D3=DATA!F3,DATA!D3=DATA!H3,DATA!D3=DATA!I3,AND(DATA!D3&lt;&gt;"",DATA!D3=DATA!G3),AND(DATA!D3&lt;&gt;"",DATA!D3=DATA!J3)),"衝突","OK"))</f>
        <v>OK</v>
      </c>
      <c r="C3" s="15" t="str">
        <f>IF(DATA!E3="","",IF(OR(DATA!G3=DATA!B3,DATA!G3=DATA!C3,DATA!G3=DATA!E3,DATA!G3=DATA!F3,DATA!G3=DATA!H3,DATA!G3=DATA!I3,AND(DATA!G3&lt;&gt;"",DATA!G3=DATA!D3),AND(DATA!G3&lt;&gt;"",DATA!G3=DATA!J3)),"衝突","OK"))</f>
        <v>OK</v>
      </c>
      <c r="D3" s="15" t="str">
        <f>IF(DATA!H3="","",IF(OR(DATA!J3=DATA!B3,DATA!J3=DATA!C3,DATA!J3=DATA!E3,DATA!J3=DATA!F3,DATA!J3=DATA!H3,DATA!J3=DATA!I3,AND(DATA!J3&lt;&gt;"",DATA!J3=DATA!D3),AND(DATA!J3&lt;&gt;"",DATA!J3=DATA!G3)),"衝突","OK"))</f>
        <v>OK</v>
      </c>
      <c r="E3" s="15" t="str">
        <f t="shared" si="0"/>
        <v>OK</v>
      </c>
      <c r="G3" s="10" t="s">
        <v>89</v>
      </c>
    </row>
    <row r="4" spans="1:7" ht="30" x14ac:dyDescent="0.3">
      <c r="A4" s="15" t="str">
        <f>DATA!A4</f>
        <v>11:00-12:00</v>
      </c>
      <c r="B4" s="15" t="str">
        <f>IF(DATA!B4="","",IF(OR(DATA!D4=DATA!B4,DATA!D4=DATA!C4,DATA!D4=DATA!E4,DATA!D4=DATA!F4,DATA!D4=DATA!H4,DATA!D4=DATA!I4,AND(DATA!D4&lt;&gt;"",DATA!D4=DATA!G4),AND(DATA!D4&lt;&gt;"",DATA!D4=DATA!J4)),"衝突","OK"))</f>
        <v>OK</v>
      </c>
      <c r="C4" s="15" t="str">
        <f>IF(DATA!E4="","",IF(OR(DATA!G4=DATA!B4,DATA!G4=DATA!C4,DATA!G4=DATA!E4,DATA!G4=DATA!F4,DATA!G4=DATA!H4,DATA!G4=DATA!I4,AND(DATA!G4&lt;&gt;"",DATA!G4=DATA!D4),AND(DATA!G4&lt;&gt;"",DATA!G4=DATA!J4)),"衝突","OK"))</f>
        <v>OK</v>
      </c>
      <c r="D4" s="15" t="str">
        <f>IF(DATA!H4="","",IF(OR(DATA!J4=DATA!B4,DATA!J4=DATA!C4,DATA!J4=DATA!E4,DATA!J4=DATA!F4,DATA!J4=DATA!H4,DATA!J4=DATA!I4,AND(DATA!J4&lt;&gt;"",DATA!J4=DATA!D4),AND(DATA!J4&lt;&gt;"",DATA!J4=DATA!G4)),"衝突","OK"))</f>
        <v>OK</v>
      </c>
      <c r="E4" s="15" t="str">
        <f t="shared" si="0"/>
        <v>OK</v>
      </c>
      <c r="G4" s="10" t="s">
        <v>90</v>
      </c>
    </row>
    <row r="5" spans="1:7" x14ac:dyDescent="0.3">
      <c r="A5" s="15" t="str">
        <f>DATA!A5</f>
        <v>12:00-13:00</v>
      </c>
      <c r="B5" s="15" t="str">
        <f>IF(DATA!B5="","",IF(OR(DATA!D5=DATA!B5,DATA!D5=DATA!C5,DATA!D5=DATA!E5,DATA!D5=DATA!F5,DATA!D5=DATA!H5,DATA!D5=DATA!I5,AND(DATA!D5&lt;&gt;"",DATA!D5=DATA!G5),AND(DATA!D5&lt;&gt;"",DATA!D5=DATA!J5)),"衝突","OK"))</f>
        <v/>
      </c>
      <c r="C5" s="15" t="str">
        <f>IF(DATA!E5="","",IF(OR(DATA!G5=DATA!B5,DATA!G5=DATA!C5,DATA!G5=DATA!E5,DATA!G5=DATA!F5,DATA!G5=DATA!H5,DATA!G5=DATA!I5,AND(DATA!G5&lt;&gt;"",DATA!G5=DATA!D5),AND(DATA!G5&lt;&gt;"",DATA!G5=DATA!J5)),"衝突","OK"))</f>
        <v/>
      </c>
      <c r="D5" s="15" t="str">
        <f>IF(DATA!H5="","",IF(OR(DATA!J5=DATA!B5,DATA!J5=DATA!C5,DATA!J5=DATA!E5,DATA!J5=DATA!F5,DATA!J5=DATA!H5,DATA!J5=DATA!I5,AND(DATA!J5&lt;&gt;"",DATA!J5=DATA!D5),AND(DATA!J5&lt;&gt;"",DATA!J5=DATA!G5)),"衝突","OK"))</f>
        <v/>
      </c>
      <c r="E5" s="15" t="str">
        <f t="shared" si="0"/>
        <v>OK</v>
      </c>
    </row>
    <row r="6" spans="1:7" x14ac:dyDescent="0.3">
      <c r="A6" s="15" t="str">
        <f>DATA!A6</f>
        <v>13:00-14:00</v>
      </c>
      <c r="B6" s="15" t="str">
        <f>IF(DATA!B6="","",IF(OR(DATA!D6=DATA!B6,DATA!D6=DATA!C6,DATA!D6=DATA!E6,DATA!D6=DATA!F6,DATA!D6=DATA!H6,DATA!D6=DATA!I6,AND(DATA!D6&lt;&gt;"",DATA!D6=DATA!G6),AND(DATA!D6&lt;&gt;"",DATA!D6=DATA!J6)),"衝突","OK"))</f>
        <v>OK</v>
      </c>
      <c r="C6" s="15" t="str">
        <f>IF(DATA!E6="","",IF(OR(DATA!G6=DATA!B6,DATA!G6=DATA!C6,DATA!G6=DATA!E6,DATA!G6=DATA!F6,DATA!G6=DATA!H6,DATA!G6=DATA!I6,AND(DATA!G6&lt;&gt;"",DATA!G6=DATA!D6),AND(DATA!G6&lt;&gt;"",DATA!G6=DATA!J6)),"衝突","OK"))</f>
        <v>OK</v>
      </c>
      <c r="D6" s="15" t="str">
        <f>IF(DATA!H6="","",IF(OR(DATA!J6=DATA!B6,DATA!J6=DATA!C6,DATA!J6=DATA!E6,DATA!J6=DATA!F6,DATA!J6=DATA!H6,DATA!J6=DATA!I6,AND(DATA!J6&lt;&gt;"",DATA!J6=DATA!D6),AND(DATA!J6&lt;&gt;"",DATA!J6=DATA!G6)),"衝突","OK"))</f>
        <v/>
      </c>
      <c r="E6" s="15" t="str">
        <f t="shared" si="0"/>
        <v>OK</v>
      </c>
    </row>
    <row r="7" spans="1:7" x14ac:dyDescent="0.3">
      <c r="A7" s="15" t="str">
        <f>DATA!A7</f>
        <v>14:00-15:00</v>
      </c>
      <c r="B7" s="15" t="str">
        <f>IF(DATA!B7="","",IF(OR(DATA!D7=DATA!B7,DATA!D7=DATA!C7,DATA!D7=DATA!E7,DATA!D7=DATA!F7,DATA!D7=DATA!H7,DATA!D7=DATA!I7,AND(DATA!D7&lt;&gt;"",DATA!D7=DATA!G7),AND(DATA!D7&lt;&gt;"",DATA!D7=DATA!J7)),"衝突","OK"))</f>
        <v>OK</v>
      </c>
      <c r="C7" s="15" t="str">
        <f>IF(DATA!E7="","",IF(OR(DATA!G7=DATA!B7,DATA!G7=DATA!C7,DATA!G7=DATA!E7,DATA!G7=DATA!F7,DATA!G7=DATA!H7,DATA!G7=DATA!I7,AND(DATA!G7&lt;&gt;"",DATA!G7=DATA!D7),AND(DATA!G7&lt;&gt;"",DATA!G7=DATA!J7)),"衝突","OK"))</f>
        <v>OK</v>
      </c>
      <c r="D7" s="15" t="str">
        <f>IF(DATA!H7="","",IF(OR(DATA!J7=DATA!B7,DATA!J7=DATA!C7,DATA!J7=DATA!E7,DATA!J7=DATA!F7,DATA!J7=DATA!H7,DATA!J7=DATA!I7,AND(DATA!J7&lt;&gt;"",DATA!J7=DATA!D7),AND(DATA!J7&lt;&gt;"",DATA!J7=DATA!G7)),"衝突","OK"))</f>
        <v>OK</v>
      </c>
      <c r="E7" s="15" t="str">
        <f t="shared" si="0"/>
        <v>OK</v>
      </c>
    </row>
    <row r="8" spans="1:7" x14ac:dyDescent="0.3">
      <c r="A8" s="15" t="str">
        <f>DATA!A8</f>
        <v>15:00-16:00</v>
      </c>
      <c r="B8" s="15" t="str">
        <f>IF(DATA!B8="","",IF(OR(DATA!D8=DATA!B8,DATA!D8=DATA!C8,DATA!D8=DATA!E8,DATA!D8=DATA!F8,DATA!D8=DATA!H8,DATA!D8=DATA!I8,AND(DATA!D8&lt;&gt;"",DATA!D8=DATA!G8),AND(DATA!D8&lt;&gt;"",DATA!D8=DATA!J8)),"衝突","OK"))</f>
        <v>OK</v>
      </c>
      <c r="C8" s="15" t="str">
        <f>IF(DATA!E8="","",IF(OR(DATA!G8=DATA!B8,DATA!G8=DATA!C8,DATA!G8=DATA!E8,DATA!G8=DATA!F8,DATA!G8=DATA!H8,DATA!G8=DATA!I8,AND(DATA!G8&lt;&gt;"",DATA!G8=DATA!D8),AND(DATA!G8&lt;&gt;"",DATA!G8=DATA!J8)),"衝突","OK"))</f>
        <v>OK</v>
      </c>
      <c r="D8" s="15" t="str">
        <f>IF(DATA!H8="","",IF(OR(DATA!J8=DATA!B8,DATA!J8=DATA!C8,DATA!J8=DATA!E8,DATA!J8=DATA!F8,DATA!J8=DATA!H8,DATA!J8=DATA!I8,AND(DATA!J8&lt;&gt;"",DATA!J8=DATA!D8),AND(DATA!J8&lt;&gt;"",DATA!J8=DATA!G8)),"衝突","OK"))</f>
        <v/>
      </c>
      <c r="E8" s="15" t="str">
        <f t="shared" si="0"/>
        <v>OK</v>
      </c>
    </row>
    <row r="9" spans="1:7" x14ac:dyDescent="0.3">
      <c r="A9" s="15" t="str">
        <f>DATA!A9</f>
        <v>16:00-17:00</v>
      </c>
      <c r="B9" s="15" t="str">
        <f>IF(DATA!B9="","",IF(OR(DATA!D9=DATA!B9,DATA!D9=DATA!C9,DATA!D9=DATA!E9,DATA!D9=DATA!F9,DATA!D9=DATA!H9,DATA!D9=DATA!I9,AND(DATA!D9&lt;&gt;"",DATA!D9=DATA!G9),AND(DATA!D9&lt;&gt;"",DATA!D9=DATA!J9)),"衝突","OK"))</f>
        <v/>
      </c>
      <c r="C9" s="15" t="str">
        <f>IF(DATA!E9="","",IF(OR(DATA!G9=DATA!B9,DATA!G9=DATA!C9,DATA!G9=DATA!E9,DATA!G9=DATA!F9,DATA!G9=DATA!H9,DATA!G9=DATA!I9,AND(DATA!G9&lt;&gt;"",DATA!G9=DATA!D9),AND(DATA!G9&lt;&gt;"",DATA!G9=DATA!J9)),"衝突","OK"))</f>
        <v/>
      </c>
      <c r="D9" s="15" t="str">
        <f>IF(DATA!H9="","",IF(OR(DATA!J9=DATA!B9,DATA!J9=DATA!C9,DATA!J9=DATA!E9,DATA!J9=DATA!F9,DATA!J9=DATA!H9,DATA!J9=DATA!I9,AND(DATA!J9&lt;&gt;"",DATA!J9=DATA!D9),AND(DATA!J9&lt;&gt;"",DATA!J9=DATA!G9)),"衝突","OK"))</f>
        <v/>
      </c>
      <c r="E9" s="15" t="str">
        <f t="shared" si="0"/>
        <v>OK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正式賽程表</vt:lpstr>
      <vt:lpstr>DATA</vt:lpstr>
      <vt:lpstr>隊伍填寫</vt:lpstr>
      <vt:lpstr>MAP</vt:lpstr>
      <vt:lpstr>裁判衝突檢查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2026-04-12T10:21:40Z</dcterms:created>
  <dcterms:modified xsi:type="dcterms:W3CDTF">2026-04-12T10:25:03Z</dcterms:modified>
</cp:coreProperties>
</file>